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Project" sheetId="2" r:id="rId2"/>
    <sheet name="Solutions" sheetId="3" r:id="rId3"/>
    <sheet name="Stack" sheetId="4" r:id="rId4"/>
    <sheet name="Raw Data" sheetId="5" r:id="rId5"/>
    <sheet name="Processed Data" sheetId="6" r:id="rId6"/>
    <sheet name="Analysis" sheetId="7" r:id="rId7"/>
    <sheet name="AI Findings" sheetId="8" r:id="rId8"/>
    <sheet name="Provenance" sheetId="9" r:id="rId9"/>
    <sheet name="Export Manifest" sheetId="10" r:id="rId10"/>
  </sheets>
  <calcPr calcId="191029" fullCalcOnLoad="1" forceFullCalc="1"/>
</workbook>
</file>

<file path=xl/styles.xml><?xml version="1.0" encoding="utf-8"?>
<styleSheet xmlns="http://schemas.openxmlformats.org/spreadsheetml/2006/main">
  <fonts count="2">
    <font>
      <sz val="10"/>
      <name val="Aptos"/>
      <color rgb="FF273448"/>
    </font>
    <font>
      <b/>
      <sz val="10"/>
      <name val="Aptos Display"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5F7FA"/>
      </patternFill>
    </fill>
    <fill>
      <patternFill patternType="solid">
        <fgColor rgb="FF087F7B"/>
      </patternFill>
    </fill>
    <fill>
      <patternFill patternType="solid">
        <fgColor rgb="FFFFF3D6"/>
      </patternFill>
    </fill>
    <fill>
      <patternFill patternType="solid">
        <fgColor rgb="FFE8F7EE"/>
      </patternFill>
    </fill>
  </fills>
  <borders count="2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/>
  </cellStyleXfs>
  <cellXfs count="5">
    <xf borderId="1" applyAlignment="1">
      <alignment vertical="top" wrapText="1"/>
    </xf>
    <xf fillId="2" borderId="1" applyAlignment="1">
      <alignment vertical="top" wrapText="1"/>
    </xf>
    <xf fontId="1" fillId="3" borderId="1" applyAlignment="1">
      <alignment vertical="center" wrapText="1"/>
    </xf>
    <xf fillId="4" borderId="1" applyAlignment="1">
      <alignment vertical="top" wrapText="1"/>
    </xf>
    <xf fillId="5" borderId="1" applyAlignment="1">
      <alignment vertical="top" wrapText="1"/>
    </xf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state="frozen"/>
    </sheetView>
  </sheetViews>
  <cols>
    <col min="1" max="1" width="30" customWidth="1"/>
    <col min="2" max="2" width="44" customWidth="1"/>
    <col min="3" max="3" width="32" customWidth="1"/>
  </cols>
  <sheetFormatPr defaultRowHeight="18"/>
  <sheetData>
    <row r="1" ht="24" customHeight="1">
      <c r="A1" s="2" t="inlineStr">
        <is>
          <t>LABFLOW ANALYSIS WORKBOOK</t>
        </is>
      </c>
      <c r="B1" s="2" t="inlineStr">
        <is>
          <t>VALUE</t>
        </is>
      </c>
      <c r="C1" s="2" t="inlineStr">
        <is>
          <t>CONTEXT</t>
        </is>
      </c>
    </row>
    <row r="2">
      <c r="A2" s="1" t="inlineStr">
        <is>
          <t>Project</t>
        </is>
      </c>
      <c r="B2" s="1" t="inlineStr">
        <is>
          <t>Mixed-Cation Validation Report</t>
        </is>
      </c>
      <c r="C2" s="1" t="inlineStr">
        <is>
          <t>PRJ-2026-014</t>
        </is>
      </c>
    </row>
    <row r="3">
      <c r="A3" s="0" t="inlineStr">
        <is>
          <t>Best PCE</t>
        </is>
      </c>
      <c r="B3" s="4">
        <f>MAX('Raw Data'!G2:G9)</f>
      </c>
      <c r="C3" s="0" t="inlineStr">
        <is>
          <t>S08</t>
        </is>
      </c>
    </row>
    <row r="4">
      <c r="A4" s="1" t="inlineStr">
        <is>
          <t>Mean PCE</t>
        </is>
      </c>
      <c r="B4" s="4">
        <f>AVERAGE('Raw Data'!G2:G9)</f>
      </c>
      <c r="C4" s="1" t="inlineStr">
        <is>
          <t>8 samples</t>
        </is>
      </c>
    </row>
    <row r="5">
      <c r="A5" s="0" t="inlineStr">
        <is>
          <t>PCE standard deviation</t>
        </is>
      </c>
      <c r="B5" s="4">
        <f>STDEV('Raw Data'!G2:G9)</f>
      </c>
      <c r="C5" s="0" t="inlineStr">
        <is>
          <t>sample dispersion</t>
        </is>
      </c>
    </row>
    <row r="6">
      <c r="A6" s="1" t="inlineStr">
        <is>
          <t>Best stability</t>
        </is>
      </c>
      <c r="B6" s="4">
        <f>MAX('Raw Data'!H2:H9)</f>
      </c>
      <c r="C6" s="1" t="inlineStr">
        <is>
          <t>S08 · % retained</t>
        </is>
      </c>
    </row>
    <row r="7">
      <c r="A7" s="0" t="inlineStr">
        <is>
          <t>Mean hysteresis</t>
        </is>
      </c>
      <c r="B7" s="4">
        <f>AVERAGE('Raw Data'!I2:I9)</f>
      </c>
      <c r="C7" s="0" t="inlineStr">
        <is>
          <t>%</t>
        </is>
      </c>
    </row>
    <row r="8">
      <c r="A8" s="1" t="inlineStr">
        <is>
          <t>Approved findings</t>
        </is>
      </c>
      <c r="B8" s="1">
        <v>2</v>
      </c>
      <c r="C8" s="1" t="inlineStr">
        <is>
          <t>researcher-controlled</t>
        </is>
      </c>
    </row>
    <row r="9">
      <c r="A9" s="0" t="inlineStr">
        <is>
          <t>Approval</t>
        </is>
      </c>
      <c r="B9" s="0" t="inlineStr">
        <is>
          <t>Pending researcher signature</t>
        </is>
      </c>
      <c r="C9" s="0" t="inlineStr">
        <is>
          <t>human decision</t>
        </is>
      </c>
    </row>
    <row r="10">
      <c r="A10" s="1" t="inlineStr">
        <is>
          <t>EDITING LEGEND</t>
        </is>
      </c>
      <c r="B10" s="1" t="inlineStr">
        <is>
          <t>Pale amber = editable input</t>
        </is>
      </c>
      <c r="C10" s="1" t="inlineStr">
        <is>
          <t>Pale green = calculated formula</t>
        </is>
      </c>
    </row>
    <row r="11">
      <c r="A11" s="0" t="inlineStr">
        <is>
          <t>Recalculation</t>
        </is>
      </c>
      <c r="B11" s="0" t="inlineStr">
        <is>
          <t>Automatic on open</t>
        </is>
      </c>
      <c r="C11" s="0" t="inlineStr">
        <is>
          <t>Charts and summaries follow Raw Data</t>
        </is>
      </c>
    </row>
  </sheetData>
  <autoFilter ref="A1:C11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 showGridLines="1">
      <pane ySplit="1" topLeftCell="A2" state="frozen"/>
    </sheetView>
  </sheetViews>
  <cols>
    <col min="1" max="1" width="24" customWidth="1"/>
    <col min="2" max="2" width="90" customWidth="1"/>
  </cols>
  <sheetFormatPr defaultRowHeight="18"/>
  <sheetData>
    <row r="1" ht="24" customHeight="1">
      <c r="A1" s="2" t="inlineStr">
        <is>
          <t>FIELD</t>
        </is>
      </c>
      <c r="B1" s="2" t="inlineStr">
        <is>
          <t>VALUE</t>
        </is>
      </c>
    </row>
    <row r="2">
      <c r="A2" s="1" t="inlineStr">
        <is>
          <t>Project ID</t>
        </is>
      </c>
      <c r="B2" s="3" t="inlineStr">
        <is>
          <t>PRJ-2026-014</t>
        </is>
      </c>
    </row>
    <row r="3">
      <c r="A3" s="0" t="inlineStr">
        <is>
          <t>Project name</t>
        </is>
      </c>
      <c r="B3" s="3" t="inlineStr">
        <is>
          <t>Mixed-cation perovskite optimisation</t>
        </is>
      </c>
    </row>
    <row r="4">
      <c r="A4" s="1" t="inlineStr">
        <is>
          <t>Pipeline</t>
        </is>
      </c>
      <c r="B4" s="3" t="inlineStr">
        <is>
          <t>chose</t>
        </is>
      </c>
    </row>
    <row r="5">
      <c r="A5" s="0" t="inlineStr">
        <is>
          <t>Owner</t>
        </is>
      </c>
      <c r="B5" s="3" t="inlineStr">
        <is>
          <t>Matteo Ginesi</t>
        </is>
      </c>
    </row>
    <row r="6">
      <c r="A6" s="1" t="inlineStr">
        <is>
          <t>Status</t>
        </is>
      </c>
      <c r="B6" s="3" t="inlineStr">
        <is>
          <t>active</t>
        </is>
      </c>
    </row>
    <row r="7">
      <c r="A7" s="0" t="inlineStr">
        <is>
          <t>Progress (%)</t>
        </is>
      </c>
      <c r="B7" s="3">
        <v>78</v>
      </c>
    </row>
    <row r="8">
      <c r="A8" s="1" t="inlineStr">
        <is>
          <t>Objective</t>
        </is>
      </c>
      <c r="B8" s="3" t="inlineStr">
        <is>
          <t>Compare MA/FA ratios and identify the most stable high-efficiency device stack.</t>
        </is>
      </c>
    </row>
    <row r="9">
      <c r="A9" s="0" t="inlineStr">
        <is>
          <t>Report title</t>
        </is>
      </c>
      <c r="B9" s="3" t="inlineStr">
        <is>
          <t>Mixed-Cation Validation Report</t>
        </is>
      </c>
    </row>
    <row r="10">
      <c r="A10" s="1" t="inlineStr">
        <is>
          <t>Report subtitle</t>
        </is>
      </c>
      <c r="B10" s="3" t="inlineStr">
        <is>
          <t>Editable local report test</t>
        </is>
      </c>
    </row>
    <row r="11">
      <c r="A11" s="0" t="inlineStr">
        <is>
          <t>Executive summary</t>
        </is>
      </c>
      <c r="B11" s="3" t="inlineStr">
        <is>
          <t>The leading formulation remains FA0.90MA0.10.</t>
        </is>
      </c>
    </row>
    <row r="12">
      <c r="A12" s="1" t="inlineStr">
        <is>
          <t>Methodology</t>
        </is>
      </c>
      <c r="B12" s="3" t="inlineStr">
        <is>
          <t>Versioned preparation, mapped JV data and deterministic comparison.</t>
        </is>
      </c>
    </row>
    <row r="13">
      <c r="A13" s="0" t="inlineStr">
        <is>
          <t>Conclusions</t>
        </is>
      </c>
      <c r="B13" s="3" t="inlineStr">
        <is>
          <t>S04 and S08 proceed to validation; S06 remains under review.</t>
        </is>
      </c>
    </row>
    <row r="14">
      <c r="A14" s="1" t="inlineStr">
        <is>
          <t>Limitations</t>
        </is>
      </c>
      <c r="B14" s="3" t="inlineStr">
        <is>
          <t>Small demonstration cohort; no causal inference.</t>
        </is>
      </c>
    </row>
    <row r="15">
      <c r="A15" s="0" t="inlineStr">
        <is>
          <t>Approval</t>
        </is>
      </c>
      <c r="B15" s="3" t="inlineStr">
        <is>
          <t>Pending researcher signature</t>
        </is>
      </c>
    </row>
  </sheetData>
  <autoFilter ref="A1:B15"/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 showGridLines="1">
      <pane ySplit="1" topLeftCell="A2" state="frozen"/>
    </sheetView>
  </sheetViews>
  <cols>
    <col min="1" max="1" width="16" customWidth="1"/>
    <col min="2" max="2" width="24" customWidth="1"/>
    <col min="3" max="3" width="18" customWidth="1"/>
    <col min="4" max="4" width="20" customWidth="1"/>
    <col min="5" max="5" width="14" customWidth="1"/>
    <col min="6" max="6" width="14" customWidth="1"/>
  </cols>
  <sheetFormatPr defaultRowHeight="18"/>
  <sheetData>
    <row r="1" ht="24" customHeight="1">
      <c r="A1" s="2" t="inlineStr">
        <is>
          <t>SOLUTION ID</t>
        </is>
      </c>
      <c r="B1" s="2" t="inlineStr">
        <is>
          <t>RECIPE</t>
        </is>
      </c>
      <c r="C1" s="2" t="inlineStr">
        <is>
          <t>CONCENTRATION</t>
        </is>
      </c>
      <c r="D1" s="2" t="inlineStr">
        <is>
          <t>SOLVENT</t>
        </is>
      </c>
      <c r="E1" s="2" t="inlineStr">
        <is>
          <t>VOLUME</t>
        </is>
      </c>
      <c r="F1" s="2" t="inlineStr">
        <is>
          <t>STATUS</t>
        </is>
      </c>
    </row>
    <row r="2">
      <c r="A2" s="3" t="inlineStr">
        <is>
          <t>SOL-B01</t>
        </is>
      </c>
      <c r="B2" s="3" t="inlineStr">
        <is>
          <t>FA/MA reference</t>
        </is>
      </c>
      <c r="C2" s="3" t="inlineStr">
        <is>
          <t>1.25 mol/L</t>
        </is>
      </c>
      <c r="D2" s="3" t="inlineStr">
        <is>
          <t>DMF:DMSO 4:1</t>
        </is>
      </c>
      <c r="E2" s="3" t="inlineStr">
        <is>
          <t>2.0 mL</t>
        </is>
      </c>
      <c r="F2" s="3" t="inlineStr">
        <is>
          <t>Reviewed</t>
        </is>
      </c>
    </row>
    <row r="3">
      <c r="A3" s="3" t="inlineStr">
        <is>
          <t>SOL-B02</t>
        </is>
      </c>
      <c r="B3" s="3" t="inlineStr">
        <is>
          <t>FA/MA reference</t>
        </is>
      </c>
      <c r="C3" s="3" t="inlineStr">
        <is>
          <t>1.25 mol/L</t>
        </is>
      </c>
      <c r="D3" s="3" t="inlineStr">
        <is>
          <t>DMF:DMSO 4:1</t>
        </is>
      </c>
      <c r="E3" s="3" t="inlineStr">
        <is>
          <t>2.5 mL</t>
        </is>
      </c>
      <c r="F3" s="3" t="inlineStr">
        <is>
          <t>Reviewed</t>
        </is>
      </c>
    </row>
    <row r="4">
      <c r="A4" s="3" t="inlineStr">
        <is>
          <t>SOL-B03</t>
        </is>
      </c>
      <c r="B4" s="3" t="inlineStr">
        <is>
          <t>FA/MA variant</t>
        </is>
      </c>
      <c r="C4" s="3" t="inlineStr">
        <is>
          <t>1.30 mol/L</t>
        </is>
      </c>
      <c r="D4" s="3" t="inlineStr">
        <is>
          <t>DMF:DMSO 4:1</t>
        </is>
      </c>
      <c r="E4" s="3" t="inlineStr">
        <is>
          <t>1.5 mL</t>
        </is>
      </c>
      <c r="F4" s="3" t="inlineStr">
        <is>
          <t>Review</t>
        </is>
      </c>
    </row>
  </sheetData>
  <autoFilter ref="A1:F4"/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 showGridLines="1">
      <pane ySplit="1" topLeftCell="A2" state="frozen"/>
    </sheetView>
  </sheetViews>
  <cols>
    <col min="1" max="1" width="10" customWidth="1"/>
    <col min="2" max="2" width="24" customWidth="1"/>
    <col min="3" max="3" width="16" customWidth="1"/>
    <col min="4" max="4" width="24" customWidth="1"/>
    <col min="5" max="5" width="18" customWidth="1"/>
  </cols>
  <sheetFormatPr defaultRowHeight="18"/>
  <sheetData>
    <row r="1" ht="24" customHeight="1">
      <c r="A1" s="2" t="inlineStr">
        <is>
          <t>ORDER</t>
        </is>
      </c>
      <c r="B1" s="2" t="inlineStr">
        <is>
          <t>MATERIAL</t>
        </is>
      </c>
      <c r="C1" s="2" t="inlineStr">
        <is>
          <t>THICKNESS</t>
        </is>
      </c>
      <c r="D1" s="2" t="inlineStr">
        <is>
          <t>FUNCTION</t>
        </is>
      </c>
      <c r="E1" s="2" t="inlineStr">
        <is>
          <t>PROCESS</t>
        </is>
      </c>
    </row>
    <row r="2">
      <c r="A2" s="3">
        <v>1</v>
      </c>
      <c r="B2" s="3" t="inlineStr">
        <is>
          <t>Glass / FTO</t>
        </is>
      </c>
      <c r="C2" s="3" t="inlineStr">
        <is>
          <t>2.2 mm</t>
        </is>
      </c>
      <c r="D2" s="3" t="inlineStr">
        <is>
          <t>Substrate</t>
        </is>
      </c>
      <c r="E2" s="3" t="inlineStr">
        <is>
          <t>Cleaning</t>
        </is>
      </c>
    </row>
    <row r="3">
      <c r="A3" s="3">
        <v>2</v>
      </c>
      <c r="B3" s="3" t="inlineStr">
        <is>
          <t>SnO₂</t>
        </is>
      </c>
      <c r="C3" s="3" t="inlineStr">
        <is>
          <t>32 nm</t>
        </is>
      </c>
      <c r="D3" s="3" t="inlineStr">
        <is>
          <t>Electron transport</t>
        </is>
      </c>
      <c r="E3" s="3" t="inlineStr">
        <is>
          <t>Spin coat</t>
        </is>
      </c>
    </row>
    <row r="4">
      <c r="A4" s="3">
        <v>3</v>
      </c>
      <c r="B4" s="3" t="inlineStr">
        <is>
          <t>FA/MA perovskite</t>
        </is>
      </c>
      <c r="C4" s="3" t="inlineStr">
        <is>
          <t>540 nm</t>
        </is>
      </c>
      <c r="D4" s="3" t="inlineStr">
        <is>
          <t>Absorber</t>
        </is>
      </c>
      <c r="E4" s="3" t="inlineStr">
        <is>
          <t>Anti-solvent</t>
        </is>
      </c>
    </row>
    <row r="5">
      <c r="A5" s="3">
        <v>4</v>
      </c>
      <c r="B5" s="3" t="inlineStr">
        <is>
          <t>Spiro-OMeTAD</t>
        </is>
      </c>
      <c r="C5" s="3" t="inlineStr">
        <is>
          <t>180 nm</t>
        </is>
      </c>
      <c r="D5" s="3" t="inlineStr">
        <is>
          <t>Hole transport</t>
        </is>
      </c>
      <c r="E5" s="3" t="inlineStr">
        <is>
          <t>Spin coat</t>
        </is>
      </c>
    </row>
    <row r="6">
      <c r="A6" s="3">
        <v>5</v>
      </c>
      <c r="B6" s="3" t="inlineStr">
        <is>
          <t>Au</t>
        </is>
      </c>
      <c r="C6" s="3" t="inlineStr">
        <is>
          <t>80 nm</t>
        </is>
      </c>
      <c r="D6" s="3" t="inlineStr">
        <is>
          <t>Back contact</t>
        </is>
      </c>
      <c r="E6" s="3" t="inlineStr">
        <is>
          <t>Evaporation</t>
        </is>
      </c>
    </row>
  </sheetData>
  <autoFilter ref="A1:E6"/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 showGridLines="1">
      <pane ySplit="1" topLeftCell="A2" state="frozen"/>
    </sheetView>
  </sheetViews>
  <cols>
    <col min="1" max="1" width="12" customWidth="1"/>
    <col min="2" max="2" width="24" customWidth="1"/>
    <col min="3" max="3" width="12" customWidth="1"/>
    <col min="4" max="4" width="12" customWidth="1"/>
    <col min="5" max="5" width="16" customWidth="1"/>
    <col min="6" max="6" width="12" customWidth="1"/>
    <col min="7" max="7" width="12" customWidth="1"/>
    <col min="8" max="8" width="16" customWidth="1"/>
    <col min="9" max="9" width="18" customWidth="1"/>
  </cols>
  <sheetFormatPr defaultRowHeight="18"/>
  <sheetData>
    <row r="1" ht="24" customHeight="1">
      <c r="A1" s="2" t="inlineStr">
        <is>
          <t>SAMPLE</t>
        </is>
      </c>
      <c r="B1" s="2" t="inlineStr">
        <is>
          <t>FORMULATION</t>
        </is>
      </c>
      <c r="C1" s="2" t="inlineStr">
        <is>
          <t>BATCH</t>
        </is>
      </c>
      <c r="D1" s="2" t="inlineStr">
        <is>
          <t>VOC (V)</t>
        </is>
      </c>
      <c r="E1" s="2" t="inlineStr">
        <is>
          <t>JSC (mA/cm²)</t>
        </is>
      </c>
      <c r="F1" s="2" t="inlineStr">
        <is>
          <t>FF (%)</t>
        </is>
      </c>
      <c r="G1" s="2" t="inlineStr">
        <is>
          <t>PCE (%)</t>
        </is>
      </c>
      <c r="H1" s="2" t="inlineStr">
        <is>
          <t>STABILITY (%)</t>
        </is>
      </c>
      <c r="I1" s="2" t="inlineStr">
        <is>
          <t>HYSTERESIS (%)</t>
        </is>
      </c>
    </row>
    <row r="2">
      <c r="A2" s="3" t="inlineStr">
        <is>
          <t>S01</t>
        </is>
      </c>
      <c r="B2" s="3" t="inlineStr">
        <is>
          <t>FA0.85MA0.15</t>
        </is>
      </c>
      <c r="C2" s="3" t="inlineStr">
        <is>
          <t>B01</t>
        </is>
      </c>
      <c r="D2" s="3">
        <v>1.08</v>
      </c>
      <c r="E2" s="3">
        <v>22.7</v>
      </c>
      <c r="F2" s="3">
        <v>78.1</v>
      </c>
      <c r="G2" s="3">
        <v>19.15</v>
      </c>
      <c r="H2" s="3">
        <v>89</v>
      </c>
      <c r="I2" s="3">
        <v>3.2</v>
      </c>
    </row>
    <row r="3">
      <c r="A3" s="3" t="inlineStr">
        <is>
          <t>S02</t>
        </is>
      </c>
      <c r="B3" s="3" t="inlineStr">
        <is>
          <t>FA0.85MA0.15</t>
        </is>
      </c>
      <c r="C3" s="3" t="inlineStr">
        <is>
          <t>B01</t>
        </is>
      </c>
      <c r="D3" s="3">
        <v>1.1</v>
      </c>
      <c r="E3" s="3">
        <v>23.2</v>
      </c>
      <c r="F3" s="3">
        <v>79</v>
      </c>
      <c r="G3" s="3">
        <v>20.16</v>
      </c>
      <c r="H3" s="3">
        <v>91</v>
      </c>
      <c r="I3" s="3">
        <v>2.8</v>
      </c>
    </row>
    <row r="4">
      <c r="A4" s="3" t="inlineStr">
        <is>
          <t>S03</t>
        </is>
      </c>
      <c r="B4" s="3" t="inlineStr">
        <is>
          <t>FA0.80MA0.20</t>
        </is>
      </c>
      <c r="C4" s="3" t="inlineStr">
        <is>
          <t>B02</t>
        </is>
      </c>
      <c r="D4" s="3">
        <v>1.07</v>
      </c>
      <c r="E4" s="3">
        <v>22.9</v>
      </c>
      <c r="F4" s="3">
        <v>77.3</v>
      </c>
      <c r="G4" s="3">
        <v>18.94</v>
      </c>
      <c r="H4" s="3">
        <v>85</v>
      </c>
      <c r="I4" s="3">
        <v>4.1</v>
      </c>
    </row>
    <row r="5">
      <c r="A5" s="3" t="inlineStr">
        <is>
          <t>S04</t>
        </is>
      </c>
      <c r="B5" s="3" t="inlineStr">
        <is>
          <t>FA0.90MA0.10</t>
        </is>
      </c>
      <c r="C5" s="3" t="inlineStr">
        <is>
          <t>B03</t>
        </is>
      </c>
      <c r="D5" s="3">
        <v>1.12</v>
      </c>
      <c r="E5" s="3">
        <v>23.5</v>
      </c>
      <c r="F5" s="3">
        <v>80.2</v>
      </c>
      <c r="G5" s="3">
        <v>21.1</v>
      </c>
      <c r="H5" s="3">
        <v>94</v>
      </c>
      <c r="I5" s="3">
        <v>2.1</v>
      </c>
    </row>
    <row r="6">
      <c r="A6" s="3" t="inlineStr">
        <is>
          <t>S05</t>
        </is>
      </c>
      <c r="B6" s="3" t="inlineStr">
        <is>
          <t>FA0.90MA0.10</t>
        </is>
      </c>
      <c r="C6" s="3" t="inlineStr">
        <is>
          <t>B03</t>
        </is>
      </c>
      <c r="D6" s="3">
        <v>1.09</v>
      </c>
      <c r="E6" s="3">
        <v>23</v>
      </c>
      <c r="F6" s="3">
        <v>79.4</v>
      </c>
      <c r="G6" s="3">
        <v>19.9</v>
      </c>
      <c r="H6" s="3">
        <v>92</v>
      </c>
      <c r="I6" s="3">
        <v>2.5</v>
      </c>
    </row>
    <row r="7">
      <c r="A7" s="3" t="inlineStr">
        <is>
          <t>S06</t>
        </is>
      </c>
      <c r="B7" s="3" t="inlineStr">
        <is>
          <t>FA0.75MA0.25</t>
        </is>
      </c>
      <c r="C7" s="3" t="inlineStr">
        <is>
          <t>B04</t>
        </is>
      </c>
      <c r="D7" s="3">
        <v>1.05</v>
      </c>
      <c r="E7" s="3">
        <v>21.8</v>
      </c>
      <c r="F7" s="3">
        <v>75.8</v>
      </c>
      <c r="G7" s="3">
        <v>17.36</v>
      </c>
      <c r="H7" s="3">
        <v>78</v>
      </c>
      <c r="I7" s="3">
        <v>5.9</v>
      </c>
    </row>
    <row r="8">
      <c r="A8" s="3" t="inlineStr">
        <is>
          <t>S07</t>
        </is>
      </c>
      <c r="B8" s="3" t="inlineStr">
        <is>
          <t>FA0.85MA0.15</t>
        </is>
      </c>
      <c r="C8" s="3" t="inlineStr">
        <is>
          <t>B05</t>
        </is>
      </c>
      <c r="D8" s="3">
        <v>1.11</v>
      </c>
      <c r="E8" s="3">
        <v>23.1</v>
      </c>
      <c r="F8" s="3">
        <v>79.7</v>
      </c>
      <c r="G8" s="3">
        <v>20.44</v>
      </c>
      <c r="H8" s="3">
        <v>90</v>
      </c>
      <c r="I8" s="3">
        <v>2.7</v>
      </c>
    </row>
    <row r="9">
      <c r="A9" s="3" t="inlineStr">
        <is>
          <t>S08</t>
        </is>
      </c>
      <c r="B9" s="3" t="inlineStr">
        <is>
          <t>FA0.90MA0.10</t>
        </is>
      </c>
      <c r="C9" s="3" t="inlineStr">
        <is>
          <t>B06</t>
        </is>
      </c>
      <c r="D9" s="3">
        <v>1.13</v>
      </c>
      <c r="E9" s="3">
        <v>23.4</v>
      </c>
      <c r="F9" s="3">
        <v>80.5</v>
      </c>
      <c r="G9" s="3">
        <v>21.28</v>
      </c>
      <c r="H9" s="3">
        <v>95</v>
      </c>
      <c r="I9" s="3">
        <v>1.9</v>
      </c>
    </row>
  </sheetData>
  <autoFilter ref="A1:I9"/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 showGridLines="1">
      <pane ySplit="1" topLeftCell="A2" state="frozen"/>
    </sheetView>
  </sheetViews>
  <cols>
    <col min="1" max="1" width="12" customWidth="1"/>
    <col min="2" max="2" width="18" customWidth="1"/>
    <col min="3" max="3" width="20" customWidth="1"/>
    <col min="4" max="4" width="16" customWidth="1"/>
    <col min="5" max="5" width="22" customWidth="1"/>
  </cols>
  <sheetFormatPr defaultRowHeight="18"/>
  <sheetData>
    <row r="1" ht="24" customHeight="1">
      <c r="A1" s="2" t="inlineStr">
        <is>
          <t>SAMPLE</t>
        </is>
      </c>
      <c r="B1" s="2" t="inlineStr">
        <is>
          <t>NORMALIZED PCE</t>
        </is>
      </c>
      <c r="C1" s="2" t="inlineStr">
        <is>
          <t>PCE DELTA VS MEAN</t>
        </is>
      </c>
      <c r="D1" s="2" t="inlineStr">
        <is>
          <t>OUTLIER FLAG</t>
        </is>
      </c>
      <c r="E1" s="2" t="inlineStr">
        <is>
          <t>INCLUDED IN REPORT</t>
        </is>
      </c>
    </row>
    <row r="2">
      <c r="A2" s="1" t="inlineStr">
        <is>
          <t>S01</t>
        </is>
      </c>
      <c r="B2" s="4">
        <f>'Raw Data'!G2/MAX('Raw Data'!$G$2:$G$9)</f>
      </c>
      <c r="C2" s="4">
        <f>'Raw Data'!G2-AVERAGE('Raw Data'!$G$2:$G$9)</f>
      </c>
      <c r="D2" s="4">
        <f>IF('Raw Data'!G2&lt;18,"Review","No")</f>
      </c>
      <c r="E2" s="3" t="inlineStr">
        <is>
          <t>Yes</t>
        </is>
      </c>
    </row>
    <row r="3">
      <c r="A3" s="0" t="inlineStr">
        <is>
          <t>S02</t>
        </is>
      </c>
      <c r="B3" s="4">
        <f>'Raw Data'!G3/MAX('Raw Data'!$G$2:$G$9)</f>
      </c>
      <c r="C3" s="4">
        <f>'Raw Data'!G3-AVERAGE('Raw Data'!$G$2:$G$9)</f>
      </c>
      <c r="D3" s="4">
        <f>IF('Raw Data'!G3&lt;18,"Review","No")</f>
      </c>
      <c r="E3" s="3" t="inlineStr">
        <is>
          <t>Yes</t>
        </is>
      </c>
    </row>
    <row r="4">
      <c r="A4" s="1" t="inlineStr">
        <is>
          <t>S03</t>
        </is>
      </c>
      <c r="B4" s="4">
        <f>'Raw Data'!G4/MAX('Raw Data'!$G$2:$G$9)</f>
      </c>
      <c r="C4" s="4">
        <f>'Raw Data'!G4-AVERAGE('Raw Data'!$G$2:$G$9)</f>
      </c>
      <c r="D4" s="4">
        <f>IF('Raw Data'!G4&lt;18,"Review","No")</f>
      </c>
      <c r="E4" s="3" t="inlineStr">
        <is>
          <t>Yes</t>
        </is>
      </c>
    </row>
    <row r="5">
      <c r="A5" s="0" t="inlineStr">
        <is>
          <t>S04</t>
        </is>
      </c>
      <c r="B5" s="4">
        <f>'Raw Data'!G5/MAX('Raw Data'!$G$2:$G$9)</f>
      </c>
      <c r="C5" s="4">
        <f>'Raw Data'!G5-AVERAGE('Raw Data'!$G$2:$G$9)</f>
      </c>
      <c r="D5" s="4">
        <f>IF('Raw Data'!G5&lt;18,"Review","No")</f>
      </c>
      <c r="E5" s="3" t="inlineStr">
        <is>
          <t>Yes</t>
        </is>
      </c>
    </row>
    <row r="6">
      <c r="A6" s="1" t="inlineStr">
        <is>
          <t>S05</t>
        </is>
      </c>
      <c r="B6" s="4">
        <f>'Raw Data'!G6/MAX('Raw Data'!$G$2:$G$9)</f>
      </c>
      <c r="C6" s="4">
        <f>'Raw Data'!G6-AVERAGE('Raw Data'!$G$2:$G$9)</f>
      </c>
      <c r="D6" s="4">
        <f>IF('Raw Data'!G6&lt;18,"Review","No")</f>
      </c>
      <c r="E6" s="3" t="inlineStr">
        <is>
          <t>Yes</t>
        </is>
      </c>
    </row>
    <row r="7">
      <c r="A7" s="0" t="inlineStr">
        <is>
          <t>S06</t>
        </is>
      </c>
      <c r="B7" s="4">
        <f>'Raw Data'!G7/MAX('Raw Data'!$G$2:$G$9)</f>
      </c>
      <c r="C7" s="4">
        <f>'Raw Data'!G7-AVERAGE('Raw Data'!$G$2:$G$9)</f>
      </c>
      <c r="D7" s="4">
        <f>IF('Raw Data'!G7&lt;18,"Review","No")</f>
      </c>
      <c r="E7" s="3" t="inlineStr">
        <is>
          <t>Yes</t>
        </is>
      </c>
    </row>
    <row r="8">
      <c r="A8" s="1" t="inlineStr">
        <is>
          <t>S07</t>
        </is>
      </c>
      <c r="B8" s="4">
        <f>'Raw Data'!G8/MAX('Raw Data'!$G$2:$G$9)</f>
      </c>
      <c r="C8" s="4">
        <f>'Raw Data'!G8-AVERAGE('Raw Data'!$G$2:$G$9)</f>
      </c>
      <c r="D8" s="4">
        <f>IF('Raw Data'!G8&lt;18,"Review","No")</f>
      </c>
      <c r="E8" s="3" t="inlineStr">
        <is>
          <t>Yes</t>
        </is>
      </c>
    </row>
    <row r="9">
      <c r="A9" s="0" t="inlineStr">
        <is>
          <t>S08</t>
        </is>
      </c>
      <c r="B9" s="4">
        <f>'Raw Data'!G9/MAX('Raw Data'!$G$2:$G$9)</f>
      </c>
      <c r="C9" s="4">
        <f>'Raw Data'!G9-AVERAGE('Raw Data'!$G$2:$G$9)</f>
      </c>
      <c r="D9" s="4">
        <f>IF('Raw Data'!G9&lt;18,"Review","No")</f>
      </c>
      <c r="E9" s="3" t="inlineStr">
        <is>
          <t>Yes</t>
        </is>
      </c>
    </row>
  </sheetData>
  <autoFilter ref="A1:E9"/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 showGridLines="1">
      <pane ySplit="1" topLeftCell="A2" state="frozen"/>
    </sheetView>
  </sheetViews>
  <cols>
    <col min="1" max="1" width="28" customWidth="1"/>
    <col min="2" max="2" width="62" customWidth="1"/>
    <col min="3" max="3" width="18" customWidth="1"/>
    <col min="4" max="4" width="18" customWidth="1"/>
  </cols>
  <sheetFormatPr defaultRowHeight="18"/>
  <sheetData>
    <row r="1" ht="24" customHeight="1">
      <c r="A1" s="2" t="inlineStr">
        <is>
          <t>METHOD</t>
        </is>
      </c>
      <c r="B1" s="2" t="inlineStr">
        <is>
          <t>RESULT</t>
        </is>
      </c>
      <c r="C1" s="2" t="inlineStr">
        <is>
          <t>TYPE</t>
        </is>
      </c>
      <c r="D1" s="2" t="inlineStr">
        <is>
          <t>REPORT STATUS</t>
        </is>
      </c>
    </row>
    <row r="2">
      <c r="A2" s="1" t="inlineStr">
        <is>
          <t>Descriptive statistics</t>
        </is>
      </c>
      <c r="B2" s="1" t="inlineStr">
        <is>
          <t>Mean PCE 19.79%</t>
        </is>
      </c>
      <c r="C2" s="1" t="inlineStr">
        <is>
          <t>Deterministic</t>
        </is>
      </c>
      <c r="D2" s="1" t="inlineStr">
        <is>
          <t>Included</t>
        </is>
      </c>
    </row>
    <row r="3">
      <c r="A3" s="0" t="inlineStr">
        <is>
          <t>Trend</t>
        </is>
      </c>
      <c r="B3" s="0" t="inlineStr">
        <is>
          <t>FA0.90MA0.10 leads</t>
        </is>
      </c>
      <c r="C3" s="0" t="inlineStr">
        <is>
          <t>Deterministic</t>
        </is>
      </c>
      <c r="D3" s="0" t="inlineStr">
        <is>
          <t>Included</t>
        </is>
      </c>
    </row>
    <row r="4">
      <c r="A4" s="1" t="inlineStr">
        <is>
          <t>Outlier review</t>
        </is>
      </c>
      <c r="B4" s="1" t="inlineStr">
        <is>
          <t>S06 requires process review</t>
        </is>
      </c>
      <c r="C4" s="1" t="inlineStr">
        <is>
          <t>Deterministic</t>
        </is>
      </c>
      <c r="D4" s="1" t="inlineStr">
        <is>
          <t>Included</t>
        </is>
      </c>
    </row>
    <row r="5">
      <c r="A5" s="0" t="inlineStr">
        <is>
          <t>Correlation preview</t>
        </is>
      </c>
      <c r="B5" s="0" t="inlineStr">
        <is>
          <t>Stability inversely associated with hysteresis</t>
        </is>
      </c>
      <c r="C5" s="0" t="inlineStr">
        <is>
          <t>Deterministic</t>
        </is>
      </c>
      <c r="D5" s="0" t="inlineStr">
        <is>
          <t>Included</t>
        </is>
      </c>
    </row>
    <row r="6">
      <c r="A6" s="1" t="inlineStr">
        <is>
          <t>Batch comparison</t>
        </is>
      </c>
      <c r="B6" s="1" t="inlineStr">
        <is>
          <t>Formulation effect exceeds batch effect</t>
        </is>
      </c>
      <c r="C6" s="1" t="inlineStr">
        <is>
          <t>Deterministic</t>
        </is>
      </c>
      <c r="D6" s="1" t="inlineStr">
        <is>
          <t>Included</t>
        </is>
      </c>
    </row>
  </sheetData>
  <autoFilter ref="A1:D6"/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 showGridLines="1">
      <pane ySplit="1" topLeftCell="A2" state="frozen"/>
    </sheetView>
  </sheetViews>
  <cols>
    <col min="1" max="1" width="12" customWidth="1"/>
    <col min="2" max="2" width="38" customWidth="1"/>
    <col min="3" max="3" width="70" customWidth="1"/>
    <col min="4" max="4" width="28" customWidth="1"/>
    <col min="5" max="5" width="16" customWidth="1"/>
    <col min="6" max="6" width="18" customWidth="1"/>
  </cols>
  <sheetFormatPr defaultRowHeight="18"/>
  <sheetData>
    <row r="1" ht="24" customHeight="1">
      <c r="A1" s="2" t="inlineStr">
        <is>
          <t>SCORE</t>
        </is>
      </c>
      <c r="B1" s="2" t="inlineStr">
        <is>
          <t>FINDING</t>
        </is>
      </c>
      <c r="C1" s="2" t="inlineStr">
        <is>
          <t>DETAIL</t>
        </is>
      </c>
      <c r="D1" s="2" t="inlineStr">
        <is>
          <t>EVIDENCE</t>
        </is>
      </c>
      <c r="E1" s="2" t="inlineStr">
        <is>
          <t>STATUS</t>
        </is>
      </c>
      <c r="F1" s="2" t="inlineStr">
        <is>
          <t>ORIGIN</t>
        </is>
      </c>
    </row>
    <row r="2">
      <c r="A2" s="1">
        <v>96</v>
      </c>
      <c r="B2" s="1" t="inlineStr">
        <is>
          <t>FA0.90MA0.10 is the strongest candidate</t>
        </is>
      </c>
      <c r="C2" s="1" t="inlineStr">
        <is>
          <t>S04 and S08 lead both PCE and stability, with the lowest hysteresis.</t>
        </is>
      </c>
      <c r="D2" s="1" t="inlineStr">
        <is>
          <t>S04, S08 · 7 metrics</t>
        </is>
      </c>
      <c r="E2" s="1" t="inlineStr">
        <is>
          <t>accepted</t>
        </is>
      </c>
      <c r="F2" s="1" t="inlineStr">
        <is>
          <t>Simulated AI</t>
        </is>
      </c>
    </row>
    <row r="3">
      <c r="A3" s="0">
        <v>91</v>
      </c>
      <c r="B3" s="0" t="inlineStr">
        <is>
          <t>S06 is a multi-metric outlier</t>
        </is>
      </c>
      <c r="C3" s="0" t="inlineStr">
        <is>
          <t>PCE, fill factor and stability are jointly below the robust cohort range; review fabrication notes before exclusion.</t>
        </is>
      </c>
      <c r="D3" s="0" t="inlineStr">
        <is>
          <t>S06 · IQR + robust z</t>
        </is>
      </c>
      <c r="E3" s="0" t="inlineStr">
        <is>
          <t>review</t>
        </is>
      </c>
      <c r="F3" s="0" t="inlineStr">
        <is>
          <t>Simulated AI</t>
        </is>
      </c>
    </row>
    <row r="4">
      <c r="A4" s="1">
        <v>88</v>
      </c>
      <c r="B4" s="1" t="inlineStr">
        <is>
          <t>Batch effect is smaller than formulation effect</t>
        </is>
      </c>
      <c r="C4" s="1" t="inlineStr">
        <is>
          <t>Within-batch variation is limited compared with the shift between formulations.</t>
        </is>
      </c>
      <c r="D4" s="1" t="inlineStr">
        <is>
          <t>Grouped comparison</t>
        </is>
      </c>
      <c r="E4" s="1" t="inlineStr">
        <is>
          <t>accepted</t>
        </is>
      </c>
      <c r="F4" s="1" t="inlineStr">
        <is>
          <t>Simulated AI</t>
        </is>
      </c>
    </row>
    <row r="5">
      <c r="A5" s="0">
        <v>84</v>
      </c>
      <c r="B5" s="0" t="inlineStr">
        <is>
          <t>Stability and hysteresis are inversely associated</t>
        </is>
      </c>
      <c r="C5" s="0" t="inlineStr">
        <is>
          <t>Lower hysteresis appears in the most stable devices; the sample count does not support a causal claim.</t>
        </is>
      </c>
      <c r="D5" s="0" t="inlineStr">
        <is>
          <t>Spearman preview</t>
        </is>
      </c>
      <c r="E5" s="0" t="inlineStr">
        <is>
          <t>review</t>
        </is>
      </c>
      <c r="F5" s="0" t="inlineStr">
        <is>
          <t>Simulated AI</t>
        </is>
      </c>
    </row>
    <row r="6">
      <c r="A6" s="1">
        <v>78</v>
      </c>
      <c r="B6" s="1" t="inlineStr">
        <is>
          <t>Two metadata gaps limit reproducibility</t>
        </is>
      </c>
      <c r="C6" s="1" t="inlineStr">
        <is>
          <t>Humidity during coating and elapsed time before annealing are missing for B04 and B05.</t>
        </is>
      </c>
      <c r="D6" s="1" t="inlineStr">
        <is>
          <t>Process records</t>
        </is>
      </c>
      <c r="E6" s="1" t="inlineStr">
        <is>
          <t>action</t>
        </is>
      </c>
      <c r="F6" s="1" t="inlineStr">
        <is>
          <t>Simulated AI</t>
        </is>
      </c>
    </row>
  </sheetData>
  <autoFilter ref="A1:F6"/>
  <pageMargins left="0.3" right="0.3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>
  <sheetViews>
    <sheetView workbookViewId="0" showGridLines="1">
      <pane ySplit="1" topLeftCell="A2" state="frozen"/>
    </sheetView>
  </sheetViews>
  <cols>
    <col min="1" max="1" width="24" customWidth="1"/>
    <col min="2" max="2" width="38" customWidth="1"/>
    <col min="3" max="3" width="42" customWidth="1"/>
    <col min="4" max="4" width="24" customWidth="1"/>
    <col min="5" max="5" width="18" customWidth="1"/>
  </cols>
  <sheetFormatPr defaultRowHeight="18"/>
  <sheetData>
    <row r="1" ht="24" customHeight="1">
      <c r="A1" s="2" t="inlineStr">
        <is>
          <t>ENTITY</t>
        </is>
      </c>
      <c r="B1" s="2" t="inlineStr">
        <is>
          <t>SOURCE</t>
        </is>
      </c>
      <c r="C1" s="2" t="inlineStr">
        <is>
          <t>TRANSFORMATION</t>
        </is>
      </c>
      <c r="D1" s="2" t="inlineStr">
        <is>
          <t>OWNER</t>
        </is>
      </c>
      <c r="E1" s="2" t="inlineStr">
        <is>
          <t>STATUS</t>
        </is>
      </c>
    </row>
    <row r="2">
      <c r="A2" s="1" t="inlineStr">
        <is>
          <t>Measurements</t>
        </is>
      </c>
      <c r="B2" s="1" t="inlineStr">
        <is>
          <t>12 local instrument files</t>
        </is>
      </c>
      <c r="C2" s="1" t="inlineStr">
        <is>
          <t>Mapped to JV summary</t>
        </is>
      </c>
      <c r="D2" s="1" t="inlineStr">
        <is>
          <t>Matteo Ginesi</t>
        </is>
      </c>
      <c r="E2" s="1" t="inlineStr">
        <is>
          <t>Reviewed</t>
        </is>
      </c>
    </row>
    <row r="3">
      <c r="A3" s="0" t="inlineStr">
        <is>
          <t>Processed data</t>
        </is>
      </c>
      <c r="B3" s="0" t="inlineStr">
        <is>
          <t>Raw Data sheet</t>
        </is>
      </c>
      <c r="C3" s="0" t="inlineStr">
        <is>
          <t>Normalization + grouped statistics</t>
        </is>
      </c>
      <c r="D3" s="0" t="inlineStr">
        <is>
          <t>Matteo Ginesi</t>
        </is>
      </c>
      <c r="E3" s="0" t="inlineStr">
        <is>
          <t>Deterministic</t>
        </is>
      </c>
    </row>
    <row r="4">
      <c r="A4" s="1" t="inlineStr">
        <is>
          <t>AI findings</t>
        </is>
      </c>
      <c r="B4" s="1" t="inlineStr">
        <is>
          <t>Project + approved KB</t>
        </is>
      </c>
      <c r="C4" s="1" t="inlineStr">
        <is>
          <t>Fixed local demonstration rules</t>
        </is>
      </c>
      <c r="D4" s="1" t="inlineStr">
        <is>
          <t>LabFlow POC</t>
        </is>
      </c>
      <c r="E4" s="1" t="inlineStr">
        <is>
          <t>Simulated</t>
        </is>
      </c>
    </row>
    <row r="5">
      <c r="A5" s="0" t="inlineStr">
        <is>
          <t>Conclusions</t>
        </is>
      </c>
      <c r="B5" s="0" t="inlineStr">
        <is>
          <t>Approved results + human notes</t>
        </is>
      </c>
      <c r="C5" s="0" t="inlineStr">
        <is>
          <t>Editable report builder</t>
        </is>
      </c>
      <c r="D5" s="0" t="inlineStr">
        <is>
          <t>Matteo Ginesi</t>
        </is>
      </c>
      <c r="E5" s="0" t="inlineStr">
        <is>
          <t>Pending researcher signature</t>
        </is>
      </c>
    </row>
  </sheetData>
  <autoFilter ref="A1:E5"/>
  <pageMargins left="0.3" right="0.3" top="0.5" bottom="0.5" header="0.2" footer="0.2"/>
  <pageSetup orientation="landscape" fitToWidth="1" fitToHeight="0"/>
</worksheet>
</file>

<file path=xl/worksheets/sheet10.xml><?xml version="1.0" encoding="utf-8"?>
<worksheet xmlns="http://schemas.openxmlformats.org/spreadsheetml/2006/main">
  <sheetViews>
    <sheetView workbookViewId="0" showGridLines="1">
      <pane ySplit="1" topLeftCell="A2" state="frozen"/>
    </sheetView>
  </sheetViews>
  <cols>
    <col min="1" max="1" width="28" customWidth="1"/>
    <col min="2" max="2" width="42" customWidth="1"/>
    <col min="3" max="3" width="18" customWidth="1"/>
    <col min="4" max="4" width="22" customWidth="1"/>
  </cols>
  <sheetFormatPr defaultRowHeight="18"/>
  <sheetData>
    <row r="1" ht="24" customHeight="1">
      <c r="A1" s="2" t="inlineStr">
        <is>
          <t>FILE / SHEET</t>
        </is>
      </c>
      <c r="B1" s="2" t="inlineStr">
        <is>
          <t>PURPOSE</t>
        </is>
      </c>
      <c r="C1" s="2" t="inlineStr">
        <is>
          <t>FORMAT</t>
        </is>
      </c>
      <c r="D1" s="2" t="inlineStr">
        <is>
          <t>PALETTE</t>
        </is>
      </c>
    </row>
    <row r="2">
      <c r="A2" s="1" t="inlineStr">
        <is>
          <t>Dashboard</t>
        </is>
      </c>
      <c r="B2" s="1" t="inlineStr">
        <is>
          <t>Decision overview</t>
        </is>
      </c>
      <c r="C2" s="1" t="inlineStr">
        <is>
          <t>Worksheet</t>
        </is>
      </c>
      <c r="D2" s="1" t="inlineStr">
        <is>
          <t>Instrument Teal</t>
        </is>
      </c>
    </row>
    <row r="3">
      <c r="A3" s="0" t="inlineStr">
        <is>
          <t>Project</t>
        </is>
      </c>
      <c r="B3" s="0" t="inlineStr">
        <is>
          <t>Project metadata</t>
        </is>
      </c>
      <c r="C3" s="0" t="inlineStr">
        <is>
          <t>Worksheet</t>
        </is>
      </c>
      <c r="D3" s="0" t="inlineStr">
        <is>
          <t>Instrument Teal</t>
        </is>
      </c>
    </row>
    <row r="4">
      <c r="A4" s="1" t="inlineStr">
        <is>
          <t>Solutions</t>
        </is>
      </c>
      <c r="B4" s="1" t="inlineStr">
        <is>
          <t>Preparation records</t>
        </is>
      </c>
      <c r="C4" s="1" t="inlineStr">
        <is>
          <t>Worksheet</t>
        </is>
      </c>
      <c r="D4" s="1" t="inlineStr">
        <is>
          <t>Instrument Teal</t>
        </is>
      </c>
    </row>
    <row r="5">
      <c r="A5" s="0" t="inlineStr">
        <is>
          <t>Stack</t>
        </is>
      </c>
      <c r="B5" s="0" t="inlineStr">
        <is>
          <t>Device architecture</t>
        </is>
      </c>
      <c r="C5" s="0" t="inlineStr">
        <is>
          <t>Worksheet</t>
        </is>
      </c>
      <c r="D5" s="0" t="inlineStr">
        <is>
          <t>Instrument Teal</t>
        </is>
      </c>
    </row>
    <row r="6">
      <c r="A6" s="1" t="inlineStr">
        <is>
          <t>Raw Data</t>
        </is>
      </c>
      <c r="B6" s="1" t="inlineStr">
        <is>
          <t>Source-aligned values</t>
        </is>
      </c>
      <c r="C6" s="1" t="inlineStr">
        <is>
          <t>Worksheet</t>
        </is>
      </c>
      <c r="D6" s="1" t="inlineStr">
        <is>
          <t>Instrument Teal</t>
        </is>
      </c>
    </row>
    <row r="7">
      <c r="A7" s="0" t="inlineStr">
        <is>
          <t>Processed Data</t>
        </is>
      </c>
      <c r="B7" s="0" t="inlineStr">
        <is>
          <t>Derived values</t>
        </is>
      </c>
      <c r="C7" s="0" t="inlineStr">
        <is>
          <t>Worksheet</t>
        </is>
      </c>
      <c r="D7" s="0" t="inlineStr">
        <is>
          <t>Instrument Teal</t>
        </is>
      </c>
    </row>
    <row r="8">
      <c r="A8" s="1" t="inlineStr">
        <is>
          <t>Analysis</t>
        </is>
      </c>
      <c r="B8" s="1" t="inlineStr">
        <is>
          <t>Deterministic results</t>
        </is>
      </c>
      <c r="C8" s="1" t="inlineStr">
        <is>
          <t>Worksheet</t>
        </is>
      </c>
      <c r="D8" s="1" t="inlineStr">
        <is>
          <t>Instrument Teal</t>
        </is>
      </c>
    </row>
    <row r="9">
      <c r="A9" s="0" t="inlineStr">
        <is>
          <t>AI Findings</t>
        </is>
      </c>
      <c r="B9" s="0" t="inlineStr">
        <is>
          <t>Simulated advisory output</t>
        </is>
      </c>
      <c r="C9" s="0" t="inlineStr">
        <is>
          <t>Worksheet</t>
        </is>
      </c>
      <c r="D9" s="0" t="inlineStr">
        <is>
          <t>Instrument Teal</t>
        </is>
      </c>
    </row>
    <row r="10">
      <c r="A10" s="1" t="inlineStr">
        <is>
          <t>Provenance</t>
        </is>
      </c>
      <c r="B10" s="1" t="inlineStr">
        <is>
          <t>Evidence lineage</t>
        </is>
      </c>
      <c r="C10" s="1" t="inlineStr">
        <is>
          <t>Worksheet</t>
        </is>
      </c>
      <c r="D10" s="1" t="inlineStr">
        <is>
          <t>Instrument Teal</t>
        </is>
      </c>
    </row>
    <row r="11">
      <c r="A11" s="0" t="inlineStr">
        <is>
          <t>Export Manifest</t>
        </is>
      </c>
      <c r="B11" s="0" t="inlineStr">
        <is>
          <t>Workbook inventory</t>
        </is>
      </c>
      <c r="C11" s="0" t="inlineStr">
        <is>
          <t>Worksheet</t>
        </is>
      </c>
      <c r="D11" s="0" t="inlineStr">
        <is>
          <t>Instrument Teal</t>
        </is>
      </c>
    </row>
  </sheetData>
  <autoFilter ref="A1:D11"/>
  <pageMargins left="0.3" right="0.3" top="0.5" bottom="0.5" header="0.2" footer="0.2"/>
  <pageSetup orientation="landscape" fitToWidth="1" fitToHeight="0"/>
</worksheet>
</file>